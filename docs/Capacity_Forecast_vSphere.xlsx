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06_Betrieb_Engineering\Infrastruktur_Server\"/>
    </mc:Choice>
  </mc:AlternateContent>
  <xr:revisionPtr revIDLastSave="0" documentId="13_ncr:1_{B5D76F2B-9C8E-4718-A705-8EC02695BF0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orecast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" l="1"/>
  <c r="F30" i="2" l="1"/>
  <c r="G30" i="2" l="1"/>
  <c r="H30" i="2" s="1"/>
  <c r="I30" i="2" s="1"/>
  <c r="J30" i="2" s="1"/>
  <c r="K30" i="2" l="1"/>
  <c r="M30" i="2" s="1"/>
  <c r="N30" i="2" s="1"/>
  <c r="F39" i="2"/>
  <c r="G39" i="2" s="1"/>
  <c r="H39" i="2" s="1"/>
  <c r="I39" i="2" s="1"/>
  <c r="J39" i="2" s="1"/>
  <c r="F38" i="2"/>
  <c r="G38" i="2" s="1"/>
  <c r="H38" i="2" s="1"/>
  <c r="I38" i="2" s="1"/>
  <c r="J38" i="2" s="1"/>
  <c r="F31" i="2"/>
  <c r="G31" i="2" s="1"/>
  <c r="H31" i="2" s="1"/>
  <c r="I31" i="2" s="1"/>
  <c r="J31" i="2" s="1"/>
  <c r="F23" i="2"/>
  <c r="G23" i="2" s="1"/>
  <c r="H23" i="2" s="1"/>
  <c r="I23" i="2" s="1"/>
  <c r="J23" i="2" s="1"/>
  <c r="F22" i="2"/>
  <c r="F14" i="2"/>
  <c r="G14" i="2" s="1"/>
  <c r="H14" i="2" s="1"/>
  <c r="I14" i="2" s="1"/>
  <c r="J14" i="2" s="1"/>
  <c r="G13" i="2"/>
  <c r="H13" i="2" s="1"/>
  <c r="I13" i="2" s="1"/>
  <c r="J13" i="2" s="1"/>
  <c r="K38" i="2" l="1"/>
  <c r="M38" i="2" s="1"/>
  <c r="N38" i="2" s="1"/>
  <c r="K39" i="2"/>
  <c r="M39" i="2" s="1"/>
  <c r="N39" i="2" s="1"/>
  <c r="O30" i="2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K23" i="2"/>
  <c r="M23" i="2" s="1"/>
  <c r="N23" i="2" s="1"/>
  <c r="O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K31" i="2"/>
  <c r="M31" i="2" s="1"/>
  <c r="N31" i="2" s="1"/>
  <c r="K13" i="2"/>
  <c r="M13" i="2" s="1"/>
  <c r="N13" i="2" s="1"/>
  <c r="O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K14" i="2"/>
  <c r="M14" i="2" s="1"/>
  <c r="N14" i="2" s="1"/>
  <c r="O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G22" i="2"/>
  <c r="H22" i="2" s="1"/>
  <c r="I22" i="2" s="1"/>
  <c r="F24" i="2"/>
  <c r="O39" i="2" l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O31" i="2"/>
  <c r="Q31" i="2" s="1"/>
  <c r="O38" i="2"/>
  <c r="Q38" i="2" s="1"/>
  <c r="AA13" i="2"/>
  <c r="AA15" i="2" s="1"/>
  <c r="Z15" i="2"/>
  <c r="J22" i="2"/>
  <c r="I24" i="2"/>
  <c r="G32" i="2"/>
  <c r="N32" i="2"/>
  <c r="H32" i="2"/>
  <c r="I40" i="2"/>
  <c r="J40" i="2"/>
  <c r="T15" i="2"/>
  <c r="S15" i="2"/>
  <c r="G24" i="2"/>
  <c r="N40" i="2"/>
  <c r="H24" i="2"/>
  <c r="K32" i="2"/>
  <c r="Y15" i="2"/>
  <c r="K15" i="2"/>
  <c r="I15" i="2"/>
  <c r="F15" i="2"/>
  <c r="M40" i="2"/>
  <c r="X15" i="2"/>
  <c r="K40" i="2"/>
  <c r="F40" i="2"/>
  <c r="W15" i="2"/>
  <c r="N15" i="2"/>
  <c r="J32" i="2"/>
  <c r="M15" i="2"/>
  <c r="I32" i="2"/>
  <c r="J15" i="2"/>
  <c r="G40" i="2"/>
  <c r="H40" i="2"/>
  <c r="F32" i="2"/>
  <c r="O15" i="2"/>
  <c r="G15" i="2"/>
  <c r="H15" i="2"/>
  <c r="Q15" i="2"/>
  <c r="U15" i="2"/>
  <c r="M32" i="2"/>
  <c r="R15" i="2"/>
  <c r="V15" i="2"/>
  <c r="R31" i="2" l="1"/>
  <c r="Q32" i="2"/>
  <c r="O32" i="2"/>
  <c r="R38" i="2"/>
  <c r="Q40" i="2"/>
  <c r="O40" i="2"/>
  <c r="K22" i="2"/>
  <c r="K24" i="2" s="1"/>
  <c r="J24" i="2"/>
  <c r="S31" i="2" l="1"/>
  <c r="R32" i="2"/>
  <c r="S38" i="2"/>
  <c r="R40" i="2"/>
  <c r="M22" i="2"/>
  <c r="T31" i="2" l="1"/>
  <c r="S32" i="2"/>
  <c r="T38" i="2"/>
  <c r="S40" i="2"/>
  <c r="N22" i="2"/>
  <c r="M24" i="2"/>
  <c r="U31" i="2" l="1"/>
  <c r="T32" i="2"/>
  <c r="U38" i="2"/>
  <c r="T40" i="2"/>
  <c r="O22" i="2"/>
  <c r="N24" i="2"/>
  <c r="V31" i="2" l="1"/>
  <c r="U32" i="2"/>
  <c r="V38" i="2"/>
  <c r="U40" i="2"/>
  <c r="Q22" i="2"/>
  <c r="O24" i="2"/>
  <c r="W31" i="2" l="1"/>
  <c r="V32" i="2"/>
  <c r="W38" i="2"/>
  <c r="V40" i="2"/>
  <c r="R22" i="2"/>
  <c r="Q24" i="2"/>
  <c r="X31" i="2" l="1"/>
  <c r="W32" i="2"/>
  <c r="X38" i="2"/>
  <c r="W40" i="2"/>
  <c r="S22" i="2"/>
  <c r="R24" i="2"/>
  <c r="Y31" i="2" l="1"/>
  <c r="X32" i="2"/>
  <c r="Y38" i="2"/>
  <c r="X40" i="2"/>
  <c r="T22" i="2"/>
  <c r="S24" i="2"/>
  <c r="Z31" i="2" l="1"/>
  <c r="Y32" i="2"/>
  <c r="Z38" i="2"/>
  <c r="Y40" i="2"/>
  <c r="U22" i="2"/>
  <c r="T24" i="2"/>
  <c r="AA31" i="2" l="1"/>
  <c r="AA32" i="2" s="1"/>
  <c r="Z32" i="2"/>
  <c r="AA38" i="2"/>
  <c r="AA40" i="2" s="1"/>
  <c r="Z40" i="2"/>
  <c r="V22" i="2"/>
  <c r="U24" i="2"/>
  <c r="W22" i="2" l="1"/>
  <c r="V24" i="2"/>
  <c r="X22" i="2" l="1"/>
  <c r="W24" i="2"/>
  <c r="Y22" i="2" l="1"/>
  <c r="X24" i="2"/>
  <c r="Z22" i="2" l="1"/>
  <c r="Y24" i="2"/>
  <c r="AA22" i="2" l="1"/>
  <c r="AA24" i="2" s="1"/>
  <c r="Z24" i="2"/>
</calcChain>
</file>

<file path=xl/sharedStrings.xml><?xml version="1.0" encoding="utf-8"?>
<sst xmlns="http://schemas.openxmlformats.org/spreadsheetml/2006/main" count="74" uniqueCount="37">
  <si>
    <t>Cluster</t>
  </si>
  <si>
    <t>CL-DMZ-P1</t>
  </si>
  <si>
    <t>CL-Prod-P2</t>
  </si>
  <si>
    <t>CL-Prod-P2-Oracle</t>
  </si>
  <si>
    <t>Start</t>
  </si>
  <si>
    <t>Aktuell</t>
  </si>
  <si>
    <t>HW-Limit</t>
  </si>
  <si>
    <t>Wert</t>
  </si>
  <si>
    <t>Limit</t>
  </si>
  <si>
    <t>%</t>
  </si>
  <si>
    <t>OpenShift - Aufbau Labor Umgebung (DMZ)</t>
  </si>
  <si>
    <t>OpenShift - Aufbau Test Umgebung (Intern)</t>
  </si>
  <si>
    <t>OpenShift - Aufbau Test Umgebung (DMZ)</t>
  </si>
  <si>
    <t>OpenShift - Aufbau Prod Umgebung (DMZ)</t>
  </si>
  <si>
    <t>OpenShift - Aufbau Prod Umgebung (Intern)</t>
  </si>
  <si>
    <t xml:space="preserve">Ausbau - OpenShift Cluster Expansion </t>
  </si>
  <si>
    <t>OpenShift</t>
  </si>
  <si>
    <t>Usage GB</t>
  </si>
  <si>
    <t>Verbrauch GB</t>
  </si>
  <si>
    <t>Umbau - ClientLab VMs zu Test-P2 migrieren</t>
  </si>
  <si>
    <t>Umbau - ClientLab Hardware nach Prod-P2</t>
  </si>
  <si>
    <t>Verbrauch Δ GB</t>
  </si>
  <si>
    <t>HW-Limit Δ GB</t>
  </si>
  <si>
    <t>START OpenShift</t>
  </si>
  <si>
    <t>Projekte</t>
  </si>
  <si>
    <t>Forecast - Monatliche Kapazität</t>
  </si>
  <si>
    <t>CL-Test-P2</t>
  </si>
  <si>
    <t>Legende</t>
  </si>
  <si>
    <t>Um oder Ausbau von Hardware</t>
  </si>
  <si>
    <t>Openshift</t>
  </si>
  <si>
    <t>Event</t>
  </si>
  <si>
    <t>Ausbau 2x HPE Server</t>
  </si>
  <si>
    <t>Wachstum Q2</t>
  </si>
  <si>
    <t>Wachstum Q3</t>
  </si>
  <si>
    <t>Wachstum Q4</t>
  </si>
  <si>
    <t>Wachstum Q1</t>
  </si>
  <si>
    <t>Ausbau Memory HPE-Server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</si>
</sst>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0.0%"/>
  </numFmts>
  <fonts count="14" x14ac:knownFonts="1">
    <font>
      <sz val="11"/>
      <color theme="1"/>
      <name val="Calibri"/>
      <family val="2"/>
      <charset val="1"/>
    </font>
    <font>
      <sz val="11"/>
      <color theme="1"/>
      <name val="Segoe UI"/>
      <family val="2"/>
    </font>
    <font>
      <b/>
      <sz val="16"/>
      <color rgb="FF1F3864"/>
      <name val="Segoe UI"/>
      <family val="2"/>
    </font>
    <font>
      <i/>
      <sz val="9"/>
      <color rgb="FF595959"/>
      <name val="Segoe UI"/>
      <family val="2"/>
    </font>
    <font>
      <sz val="10"/>
      <name val="Segoe UI"/>
      <family val="2"/>
    </font>
    <font>
      <sz val="11"/>
      <name val="Segoe UI"/>
      <family val="2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sz val="9"/>
      <color theme="6"/>
      <name val="Segoe UI"/>
      <family val="2"/>
    </font>
    <font>
      <sz val="9"/>
      <color theme="5"/>
      <name val="Segoe UI"/>
      <family val="2"/>
    </font>
    <font>
      <sz val="10"/>
      <color theme="6"/>
      <name val="Segoe UI"/>
      <family val="2"/>
    </font>
    <font>
      <sz val="10"/>
      <color theme="5"/>
      <name val="Segoe UI"/>
      <family val="2"/>
    </font>
    <font>
      <sz val="10"/>
      <color rgb="FF595959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8F9FA"/>
      </patternFill>
    </fill>
    <fill>
      <patternFill patternType="solid">
        <fgColor theme="0" tint="-0.249977111117893"/>
        <bgColor rgb="FF0066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7" fontId="4" fillId="0" borderId="0" xfId="0" applyNumberFormat="1" applyFont="1" applyAlignment="1">
      <alignment horizontal="left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 textRotation="90" wrapText="1"/>
    </xf>
    <xf numFmtId="0" fontId="4" fillId="10" borderId="1" xfId="0" applyFont="1" applyFill="1" applyBorder="1" applyAlignment="1">
      <alignment horizontal="center" vertical="center" textRotation="90" wrapText="1"/>
    </xf>
    <xf numFmtId="0" fontId="4" fillId="11" borderId="1" xfId="0" applyFont="1" applyFill="1" applyBorder="1" applyAlignment="1">
      <alignment horizontal="center" vertical="center" textRotation="90" wrapText="1"/>
    </xf>
    <xf numFmtId="0" fontId="8" fillId="4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top"/>
    </xf>
    <xf numFmtId="3" fontId="3" fillId="5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9" fontId="8" fillId="7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9" fontId="8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7" borderId="0" xfId="0" applyFont="1" applyFill="1"/>
    <xf numFmtId="0" fontId="4" fillId="12" borderId="1" xfId="0" applyFont="1" applyFill="1" applyBorder="1" applyAlignment="1">
      <alignment horizontal="center" vertical="center" textRotation="90" wrapText="1"/>
    </xf>
    <xf numFmtId="0" fontId="3" fillId="12" borderId="0" xfId="0" applyFont="1" applyFill="1" applyAlignment="1">
      <alignment horizontal="center"/>
    </xf>
    <xf numFmtId="0" fontId="13" fillId="0" borderId="0" xfId="0" applyFont="1"/>
    <xf numFmtId="0" fontId="3" fillId="10" borderId="0" xfId="0" applyFont="1" applyFill="1"/>
    <xf numFmtId="3" fontId="7" fillId="0" borderId="1" xfId="0" applyNumberFormat="1" applyFont="1" applyBorder="1" applyAlignment="1">
      <alignment horizontal="left" vertical="center" indent="1"/>
    </xf>
    <xf numFmtId="0" fontId="7" fillId="0" borderId="6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3" fontId="3" fillId="5" borderId="2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3" fontId="4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164" fontId="6" fillId="9" borderId="2" xfId="0" applyNumberFormat="1" applyFont="1" applyFill="1" applyBorder="1" applyAlignment="1">
      <alignment horizontal="center" vertical="center" wrapText="1"/>
    </xf>
    <xf numFmtId="164" fontId="6" fillId="9" borderId="3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7030A0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7E6E6"/>
      <rgbColor rgb="FFF8F9F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52"/>
  <sheetViews>
    <sheetView tabSelected="1" zoomScaleNormal="100" workbookViewId="0">
      <pane xSplit="5" ySplit="7" topLeftCell="F9" activePane="bottomRight" state="frozen"/>
      <selection pane="topRight" activeCell="G1" sqref="G1"/>
      <selection pane="bottomLeft" activeCell="A7" sqref="A7"/>
      <selection pane="bottomRight" activeCell="D18" sqref="D18"/>
    </sheetView>
  </sheetViews>
  <sheetFormatPr baseColWidth="10" defaultColWidth="8.85546875" defaultRowHeight="16.5" x14ac:dyDescent="0.3"/>
  <cols>
    <col min="1" max="1" width="3" style="1" customWidth="1"/>
    <col min="2" max="2" width="16.5703125" style="1" customWidth="1"/>
    <col min="3" max="3" width="7" style="1" customWidth="1"/>
    <col min="4" max="4" width="9.140625" style="1" bestFit="1" customWidth="1"/>
    <col min="5" max="5" width="16" style="1" customWidth="1"/>
    <col min="6" max="10" width="9" style="1" customWidth="1"/>
    <col min="11" max="11" width="6.140625" style="1" customWidth="1"/>
    <col min="12" max="12" width="6.5703125" style="1" bestFit="1" customWidth="1"/>
    <col min="13" max="14" width="9" style="1" customWidth="1"/>
    <col min="15" max="15" width="5.5703125" style="1" bestFit="1" customWidth="1"/>
    <col min="16" max="16" width="5.140625" style="1" customWidth="1"/>
    <col min="17" max="25" width="9" style="1" customWidth="1"/>
    <col min="26" max="16384" width="8.85546875" style="1"/>
  </cols>
  <sheetData>
    <row r="2" spans="1:29" ht="19.5" customHeight="1" x14ac:dyDescent="0.5">
      <c r="B2" s="50" t="s">
        <v>25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9" ht="15" customHeight="1" x14ac:dyDescent="0.3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9" ht="15" customHeight="1" x14ac:dyDescent="0.3">
      <c r="B4" s="3" t="s">
        <v>24</v>
      </c>
      <c r="C4" s="4" t="s">
        <v>4</v>
      </c>
      <c r="D4" s="2"/>
      <c r="E4" s="2"/>
      <c r="F4" s="36" t="s">
        <v>27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9" ht="15" customHeight="1" x14ac:dyDescent="0.3">
      <c r="B5" s="3" t="s">
        <v>16</v>
      </c>
      <c r="C5" s="5">
        <v>46174</v>
      </c>
      <c r="D5" s="2"/>
      <c r="E5" s="2"/>
      <c r="F5" s="57" t="s">
        <v>28</v>
      </c>
      <c r="G5" s="57"/>
      <c r="H5" s="57"/>
      <c r="I5" s="58" t="s">
        <v>29</v>
      </c>
      <c r="J5" s="58"/>
      <c r="K5" s="35"/>
      <c r="L5" s="37" t="s">
        <v>30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9" ht="1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8.5" x14ac:dyDescent="0.3">
      <c r="A7" s="6"/>
      <c r="B7" s="7" t="s">
        <v>0</v>
      </c>
      <c r="C7" s="7" t="s">
        <v>5</v>
      </c>
      <c r="D7" s="7" t="s">
        <v>6</v>
      </c>
      <c r="E7" s="7" t="s">
        <v>7</v>
      </c>
      <c r="F7" s="8">
        <v>46143</v>
      </c>
      <c r="G7" s="8">
        <v>46174</v>
      </c>
      <c r="H7" s="8">
        <v>46204</v>
      </c>
      <c r="I7" s="8">
        <v>46235</v>
      </c>
      <c r="J7" s="8">
        <v>46266</v>
      </c>
      <c r="K7" s="48">
        <v>46296</v>
      </c>
      <c r="L7" s="49"/>
      <c r="M7" s="8">
        <v>46327</v>
      </c>
      <c r="N7" s="8">
        <v>46357</v>
      </c>
      <c r="O7" s="48">
        <v>46388</v>
      </c>
      <c r="P7" s="49"/>
      <c r="Q7" s="8">
        <v>46419</v>
      </c>
      <c r="R7" s="8">
        <v>46447</v>
      </c>
      <c r="S7" s="8">
        <v>46478</v>
      </c>
      <c r="T7" s="8">
        <v>46508</v>
      </c>
      <c r="U7" s="8">
        <v>46539</v>
      </c>
      <c r="V7" s="8">
        <v>46569</v>
      </c>
      <c r="W7" s="8">
        <v>46600</v>
      </c>
      <c r="X7" s="8">
        <v>46631</v>
      </c>
      <c r="Y7" s="8">
        <v>46661</v>
      </c>
      <c r="Z7" s="8">
        <v>46692</v>
      </c>
      <c r="AA7" s="8">
        <v>46722</v>
      </c>
      <c r="AB7" s="6"/>
      <c r="AC7" s="6"/>
    </row>
    <row r="8" spans="1:29" x14ac:dyDescent="0.3">
      <c r="A8" s="6"/>
      <c r="B8" s="9"/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59"/>
      <c r="P8" s="6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6"/>
      <c r="AC8" s="6"/>
    </row>
    <row r="9" spans="1:29" ht="94.7" customHeight="1" x14ac:dyDescent="0.3">
      <c r="A9" s="6"/>
      <c r="B9" s="54" t="s">
        <v>1</v>
      </c>
      <c r="C9" s="12"/>
      <c r="D9" s="12"/>
      <c r="E9" s="12"/>
      <c r="F9" s="13"/>
      <c r="G9" s="14" t="s">
        <v>23</v>
      </c>
      <c r="H9" s="13"/>
      <c r="I9" s="13"/>
      <c r="J9" s="34" t="s">
        <v>10</v>
      </c>
      <c r="K9" s="14" t="s">
        <v>34</v>
      </c>
      <c r="L9" s="15" t="s">
        <v>36</v>
      </c>
      <c r="M9" s="34" t="s">
        <v>12</v>
      </c>
      <c r="N9" s="15" t="s">
        <v>31</v>
      </c>
      <c r="O9" s="14" t="s">
        <v>35</v>
      </c>
      <c r="P9" s="34" t="s">
        <v>13</v>
      </c>
      <c r="Q9" s="13"/>
      <c r="R9" s="13"/>
      <c r="S9" s="14" t="s">
        <v>32</v>
      </c>
      <c r="T9" s="15" t="s">
        <v>31</v>
      </c>
      <c r="U9" s="34" t="s">
        <v>15</v>
      </c>
      <c r="V9" s="14" t="s">
        <v>33</v>
      </c>
      <c r="W9" s="13"/>
      <c r="X9" s="13"/>
      <c r="Y9" s="14" t="s">
        <v>34</v>
      </c>
      <c r="Z9" s="13"/>
      <c r="AA9" s="13"/>
      <c r="AB9" s="6"/>
      <c r="AC9" s="6"/>
    </row>
    <row r="10" spans="1:29" ht="7.7" customHeight="1" x14ac:dyDescent="0.3">
      <c r="A10" s="6"/>
      <c r="B10" s="55"/>
      <c r="C10" s="12"/>
      <c r="D10" s="12"/>
      <c r="E10" s="12"/>
      <c r="F10" s="13"/>
      <c r="G10" s="13"/>
      <c r="H10" s="13"/>
      <c r="I10" s="13"/>
      <c r="J10" s="13"/>
      <c r="K10" s="42"/>
      <c r="L10" s="43"/>
      <c r="M10" s="13"/>
      <c r="N10" s="13"/>
      <c r="O10" s="42"/>
      <c r="P10" s="4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6"/>
      <c r="AC10" s="6"/>
    </row>
    <row r="11" spans="1:29" x14ac:dyDescent="0.3">
      <c r="A11" s="6"/>
      <c r="B11" s="55"/>
      <c r="C11" s="12"/>
      <c r="D11" s="12"/>
      <c r="E11" s="16" t="s">
        <v>22</v>
      </c>
      <c r="F11" s="17"/>
      <c r="G11" s="17"/>
      <c r="H11" s="17"/>
      <c r="I11" s="17"/>
      <c r="J11" s="17"/>
      <c r="K11" s="17"/>
      <c r="L11" s="17">
        <v>2560</v>
      </c>
      <c r="M11" s="17"/>
      <c r="N11" s="17">
        <v>4096</v>
      </c>
      <c r="O11" s="17"/>
      <c r="P11" s="17"/>
      <c r="Q11" s="17"/>
      <c r="R11" s="17"/>
      <c r="S11" s="17"/>
      <c r="T11" s="17">
        <v>4096</v>
      </c>
      <c r="U11" s="17"/>
      <c r="V11" s="17"/>
      <c r="W11" s="17"/>
      <c r="X11" s="17"/>
      <c r="Y11" s="17"/>
      <c r="Z11" s="17"/>
      <c r="AA11" s="17"/>
      <c r="AB11" s="6"/>
      <c r="AC11" s="6"/>
    </row>
    <row r="12" spans="1:29" x14ac:dyDescent="0.3">
      <c r="A12" s="6"/>
      <c r="B12" s="55"/>
      <c r="C12" s="18"/>
      <c r="D12" s="18"/>
      <c r="E12" s="16" t="s">
        <v>18</v>
      </c>
      <c r="F12" s="19"/>
      <c r="G12" s="19"/>
      <c r="H12" s="19"/>
      <c r="I12" s="19"/>
      <c r="J12" s="19">
        <v>144</v>
      </c>
      <c r="K12" s="19">
        <v>375</v>
      </c>
      <c r="L12" s="19"/>
      <c r="M12" s="19">
        <v>432</v>
      </c>
      <c r="N12" s="19"/>
      <c r="O12" s="19">
        <v>375</v>
      </c>
      <c r="P12" s="19">
        <v>880</v>
      </c>
      <c r="Q12" s="19"/>
      <c r="R12" s="19"/>
      <c r="S12" s="19">
        <v>375</v>
      </c>
      <c r="T12" s="19"/>
      <c r="U12" s="19">
        <v>384</v>
      </c>
      <c r="V12" s="19">
        <v>375</v>
      </c>
      <c r="W12" s="19"/>
      <c r="X12" s="19"/>
      <c r="Y12" s="19">
        <v>375</v>
      </c>
      <c r="Z12" s="19"/>
      <c r="AA12" s="19"/>
      <c r="AB12" s="6"/>
      <c r="AC12" s="6"/>
    </row>
    <row r="13" spans="1:29" ht="15" customHeight="1" x14ac:dyDescent="0.3">
      <c r="A13" s="6"/>
      <c r="B13" s="55"/>
      <c r="C13" s="52">
        <v>3378</v>
      </c>
      <c r="D13" s="52">
        <v>7680</v>
      </c>
      <c r="E13" s="20" t="s">
        <v>17</v>
      </c>
      <c r="F13" s="21">
        <f>SUM(C13)+F12</f>
        <v>3378</v>
      </c>
      <c r="G13" s="21">
        <f>SUM(F13)+G12</f>
        <v>3378</v>
      </c>
      <c r="H13" s="21">
        <f t="shared" ref="H13:AA13" si="0">SUM(G13)+H12</f>
        <v>3378</v>
      </c>
      <c r="I13" s="21">
        <f t="shared" si="0"/>
        <v>3378</v>
      </c>
      <c r="J13" s="21">
        <f t="shared" si="0"/>
        <v>3522</v>
      </c>
      <c r="K13" s="44">
        <f>SUM(J13)+L12+K12</f>
        <v>3897</v>
      </c>
      <c r="L13" s="45"/>
      <c r="M13" s="21">
        <f>SUM(K13)+M12</f>
        <v>4329</v>
      </c>
      <c r="N13" s="21">
        <f t="shared" si="0"/>
        <v>4329</v>
      </c>
      <c r="O13" s="44">
        <f>SUM(N13)+P12+O12</f>
        <v>5584</v>
      </c>
      <c r="P13" s="45"/>
      <c r="Q13" s="21">
        <f>SUM(O13)+Q12</f>
        <v>5584</v>
      </c>
      <c r="R13" s="21">
        <f t="shared" si="0"/>
        <v>5584</v>
      </c>
      <c r="S13" s="21">
        <f t="shared" si="0"/>
        <v>5959</v>
      </c>
      <c r="T13" s="21">
        <f t="shared" si="0"/>
        <v>5959</v>
      </c>
      <c r="U13" s="21">
        <f t="shared" si="0"/>
        <v>6343</v>
      </c>
      <c r="V13" s="21">
        <f t="shared" si="0"/>
        <v>6718</v>
      </c>
      <c r="W13" s="21">
        <f t="shared" si="0"/>
        <v>6718</v>
      </c>
      <c r="X13" s="21">
        <f t="shared" si="0"/>
        <v>6718</v>
      </c>
      <c r="Y13" s="21">
        <f t="shared" si="0"/>
        <v>7093</v>
      </c>
      <c r="Z13" s="21">
        <f t="shared" si="0"/>
        <v>7093</v>
      </c>
      <c r="AA13" s="21">
        <f t="shared" si="0"/>
        <v>7093</v>
      </c>
      <c r="AB13" s="6"/>
      <c r="AC13" s="6"/>
    </row>
    <row r="14" spans="1:29" ht="15" customHeight="1" x14ac:dyDescent="0.3">
      <c r="A14" s="6"/>
      <c r="B14" s="55"/>
      <c r="C14" s="53"/>
      <c r="D14" s="53"/>
      <c r="E14" s="20" t="s">
        <v>8</v>
      </c>
      <c r="F14" s="21">
        <f>SUM(D13+F11)</f>
        <v>7680</v>
      </c>
      <c r="G14" s="21">
        <f>SUM(F14+G11)</f>
        <v>7680</v>
      </c>
      <c r="H14" s="21">
        <f t="shared" ref="H14:AA14" si="1">SUM(G14+H11)</f>
        <v>7680</v>
      </c>
      <c r="I14" s="21">
        <f t="shared" si="1"/>
        <v>7680</v>
      </c>
      <c r="J14" s="21">
        <f t="shared" si="1"/>
        <v>7680</v>
      </c>
      <c r="K14" s="44">
        <f>SUM(J14+L11)+K11</f>
        <v>10240</v>
      </c>
      <c r="L14" s="45"/>
      <c r="M14" s="21">
        <f>SUM(K14+M11)</f>
        <v>10240</v>
      </c>
      <c r="N14" s="21">
        <f t="shared" si="1"/>
        <v>14336</v>
      </c>
      <c r="O14" s="61">
        <f>SUM(N14+P11+O11)</f>
        <v>14336</v>
      </c>
      <c r="P14" s="62"/>
      <c r="Q14" s="21">
        <f>SUM(O14+Q11)</f>
        <v>14336</v>
      </c>
      <c r="R14" s="21">
        <f t="shared" si="1"/>
        <v>14336</v>
      </c>
      <c r="S14" s="21">
        <f t="shared" si="1"/>
        <v>14336</v>
      </c>
      <c r="T14" s="21">
        <f t="shared" si="1"/>
        <v>18432</v>
      </c>
      <c r="U14" s="21">
        <f t="shared" si="1"/>
        <v>18432</v>
      </c>
      <c r="V14" s="21">
        <f t="shared" si="1"/>
        <v>18432</v>
      </c>
      <c r="W14" s="21">
        <f t="shared" si="1"/>
        <v>18432</v>
      </c>
      <c r="X14" s="21">
        <f t="shared" si="1"/>
        <v>18432</v>
      </c>
      <c r="Y14" s="21">
        <f t="shared" si="1"/>
        <v>18432</v>
      </c>
      <c r="Z14" s="21">
        <f t="shared" si="1"/>
        <v>18432</v>
      </c>
      <c r="AA14" s="21">
        <f t="shared" si="1"/>
        <v>18432</v>
      </c>
      <c r="AB14" s="6"/>
      <c r="AC14" s="6"/>
    </row>
    <row r="15" spans="1:29" ht="15" customHeight="1" x14ac:dyDescent="0.3">
      <c r="A15" s="6"/>
      <c r="B15" s="56"/>
      <c r="C15" s="53"/>
      <c r="D15" s="53"/>
      <c r="E15" s="16" t="s">
        <v>9</v>
      </c>
      <c r="F15" s="22">
        <f t="shared" ref="F15:X15" si="2">F13/F14</f>
        <v>0.43984374999999998</v>
      </c>
      <c r="G15" s="22">
        <f t="shared" si="2"/>
        <v>0.43984374999999998</v>
      </c>
      <c r="H15" s="22">
        <f t="shared" si="2"/>
        <v>0.43984374999999998</v>
      </c>
      <c r="I15" s="22">
        <f t="shared" si="2"/>
        <v>0.43984374999999998</v>
      </c>
      <c r="J15" s="22">
        <f t="shared" si="2"/>
        <v>0.45859375000000002</v>
      </c>
      <c r="K15" s="46">
        <f>K13/K14</f>
        <v>0.38056640624999999</v>
      </c>
      <c r="L15" s="47"/>
      <c r="M15" s="22">
        <f t="shared" si="2"/>
        <v>0.42275390624999998</v>
      </c>
      <c r="N15" s="22">
        <f t="shared" si="2"/>
        <v>0.30196707589285715</v>
      </c>
      <c r="O15" s="46">
        <f>O13/O14</f>
        <v>0.38950892857142855</v>
      </c>
      <c r="P15" s="47"/>
      <c r="Q15" s="22">
        <f t="shared" si="2"/>
        <v>0.38950892857142855</v>
      </c>
      <c r="R15" s="22">
        <f t="shared" si="2"/>
        <v>0.38950892857142855</v>
      </c>
      <c r="S15" s="22">
        <f t="shared" si="2"/>
        <v>0.41566685267857145</v>
      </c>
      <c r="T15" s="22">
        <f t="shared" si="2"/>
        <v>0.32329644097222221</v>
      </c>
      <c r="U15" s="22">
        <f t="shared" si="2"/>
        <v>0.34412977430555558</v>
      </c>
      <c r="V15" s="22">
        <f t="shared" si="2"/>
        <v>0.3644748263888889</v>
      </c>
      <c r="W15" s="22">
        <f t="shared" si="2"/>
        <v>0.3644748263888889</v>
      </c>
      <c r="X15" s="22">
        <f t="shared" si="2"/>
        <v>0.3644748263888889</v>
      </c>
      <c r="Y15" s="22">
        <f>Y13/Y14</f>
        <v>0.38481987847222221</v>
      </c>
      <c r="Z15" s="22">
        <f>Z13/Z14</f>
        <v>0.38481987847222221</v>
      </c>
      <c r="AA15" s="22">
        <f t="shared" ref="AA15" si="3">AA13/AA14</f>
        <v>0.38481987847222221</v>
      </c>
      <c r="AB15" s="6"/>
      <c r="AC15" s="6"/>
    </row>
    <row r="16" spans="1:29" ht="15" customHeight="1" x14ac:dyDescent="0.3">
      <c r="A16" s="6"/>
      <c r="B16" s="39"/>
      <c r="C16" s="38"/>
      <c r="D16" s="38"/>
      <c r="E16" s="16"/>
      <c r="F16" s="22"/>
      <c r="G16" s="22"/>
      <c r="H16" s="22"/>
      <c r="I16" s="22"/>
      <c r="J16" s="22"/>
      <c r="K16" s="40"/>
      <c r="L16" s="41"/>
      <c r="M16" s="22"/>
      <c r="N16" s="22"/>
      <c r="O16" s="40"/>
      <c r="P16" s="4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6"/>
      <c r="AC16" s="6"/>
    </row>
    <row r="17" spans="1:29" ht="15" customHeight="1" x14ac:dyDescent="0.3">
      <c r="A17" s="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6"/>
      <c r="AC17" s="6"/>
    </row>
    <row r="18" spans="1:29" ht="94.7" customHeight="1" x14ac:dyDescent="0.3">
      <c r="A18" s="6"/>
      <c r="B18" s="54" t="s">
        <v>2</v>
      </c>
      <c r="C18" s="13"/>
      <c r="D18" s="13"/>
      <c r="E18" s="13"/>
      <c r="F18" s="13"/>
      <c r="G18" s="13"/>
      <c r="H18" s="15" t="s">
        <v>20</v>
      </c>
      <c r="I18" s="13"/>
      <c r="J18" s="13"/>
      <c r="K18" s="14" t="s">
        <v>34</v>
      </c>
      <c r="M18" s="13"/>
      <c r="N18" s="13"/>
      <c r="O18" s="14" t="s">
        <v>35</v>
      </c>
      <c r="P18" s="34" t="s">
        <v>14</v>
      </c>
      <c r="Q18" s="13"/>
      <c r="R18" s="13"/>
      <c r="S18" s="14" t="s">
        <v>32</v>
      </c>
      <c r="T18" s="15" t="s">
        <v>31</v>
      </c>
      <c r="U18" s="34" t="s">
        <v>15</v>
      </c>
      <c r="V18" s="14" t="s">
        <v>33</v>
      </c>
      <c r="W18" s="13"/>
      <c r="X18" s="13"/>
      <c r="Y18" s="14" t="s">
        <v>34</v>
      </c>
      <c r="Z18" s="13"/>
      <c r="AA18" s="13"/>
      <c r="AB18" s="6"/>
      <c r="AC18" s="6"/>
    </row>
    <row r="19" spans="1:29" ht="8.4499999999999993" customHeight="1" x14ac:dyDescent="0.3">
      <c r="A19" s="6"/>
      <c r="B19" s="55"/>
      <c r="C19" s="13"/>
      <c r="D19" s="13"/>
      <c r="E19" s="13"/>
      <c r="F19" s="13"/>
      <c r="G19" s="13"/>
      <c r="H19" s="13"/>
      <c r="I19" s="13"/>
      <c r="J19" s="13"/>
      <c r="K19" s="42"/>
      <c r="L19" s="4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6"/>
      <c r="AC19" s="6"/>
    </row>
    <row r="20" spans="1:29" x14ac:dyDescent="0.3">
      <c r="A20" s="6"/>
      <c r="B20" s="55"/>
      <c r="C20" s="13"/>
      <c r="D20" s="13"/>
      <c r="E20" s="24" t="s">
        <v>22</v>
      </c>
      <c r="F20" s="17"/>
      <c r="G20" s="17"/>
      <c r="H20" s="17">
        <v>4096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4096</v>
      </c>
      <c r="U20" s="17"/>
      <c r="V20" s="17"/>
      <c r="W20" s="17"/>
      <c r="X20" s="17"/>
      <c r="Y20" s="17"/>
      <c r="Z20" s="17"/>
      <c r="AA20" s="17"/>
      <c r="AB20" s="6"/>
      <c r="AC20" s="6"/>
    </row>
    <row r="21" spans="1:29" x14ac:dyDescent="0.3">
      <c r="A21" s="6"/>
      <c r="B21" s="55"/>
      <c r="C21" s="18"/>
      <c r="D21" s="18"/>
      <c r="E21" s="24" t="s">
        <v>21</v>
      </c>
      <c r="F21" s="19"/>
      <c r="G21" s="19"/>
      <c r="H21" s="19"/>
      <c r="I21" s="19"/>
      <c r="J21" s="19"/>
      <c r="K21" s="19">
        <v>750</v>
      </c>
      <c r="L21" s="19"/>
      <c r="M21" s="19"/>
      <c r="N21" s="19"/>
      <c r="O21" s="19">
        <v>750</v>
      </c>
      <c r="P21" s="19">
        <v>880</v>
      </c>
      <c r="Q21" s="19"/>
      <c r="R21" s="19"/>
      <c r="S21" s="19">
        <v>750</v>
      </c>
      <c r="T21" s="19"/>
      <c r="U21" s="19">
        <v>576</v>
      </c>
      <c r="V21" s="19">
        <v>750</v>
      </c>
      <c r="W21" s="19"/>
      <c r="X21" s="19"/>
      <c r="Y21" s="19">
        <v>750</v>
      </c>
      <c r="Z21" s="19"/>
      <c r="AA21" s="19"/>
      <c r="AB21" s="6"/>
      <c r="AC21" s="6"/>
    </row>
    <row r="22" spans="1:29" ht="15" customHeight="1" x14ac:dyDescent="0.3">
      <c r="A22" s="6"/>
      <c r="B22" s="55"/>
      <c r="C22" s="52">
        <v>19188</v>
      </c>
      <c r="D22" s="52">
        <v>40960</v>
      </c>
      <c r="E22" s="25" t="s">
        <v>18</v>
      </c>
      <c r="F22" s="21">
        <f>SUM(C22+F21)</f>
        <v>19188</v>
      </c>
      <c r="G22" s="21">
        <f>SUM(F22+G21)</f>
        <v>19188</v>
      </c>
      <c r="H22" s="21">
        <f t="shared" ref="H22:AA22" si="4">SUM(G22+H21)</f>
        <v>19188</v>
      </c>
      <c r="I22" s="21">
        <f t="shared" si="4"/>
        <v>19188</v>
      </c>
      <c r="J22" s="21">
        <f t="shared" si="4"/>
        <v>19188</v>
      </c>
      <c r="K22" s="44">
        <f>SUM(J22+L21)+K21</f>
        <v>19938</v>
      </c>
      <c r="L22" s="45"/>
      <c r="M22" s="21">
        <f>SUM(K22+M21)</f>
        <v>19938</v>
      </c>
      <c r="N22" s="21">
        <f t="shared" si="4"/>
        <v>19938</v>
      </c>
      <c r="O22" s="44">
        <f>SUM(N22+P21+O21)</f>
        <v>21568</v>
      </c>
      <c r="P22" s="45"/>
      <c r="Q22" s="21">
        <f>SUM(O22+Q21)</f>
        <v>21568</v>
      </c>
      <c r="R22" s="21">
        <f t="shared" si="4"/>
        <v>21568</v>
      </c>
      <c r="S22" s="21">
        <f t="shared" si="4"/>
        <v>22318</v>
      </c>
      <c r="T22" s="21">
        <f t="shared" si="4"/>
        <v>22318</v>
      </c>
      <c r="U22" s="21">
        <f t="shared" si="4"/>
        <v>22894</v>
      </c>
      <c r="V22" s="21">
        <f t="shared" si="4"/>
        <v>23644</v>
      </c>
      <c r="W22" s="21">
        <f t="shared" si="4"/>
        <v>23644</v>
      </c>
      <c r="X22" s="21">
        <f t="shared" si="4"/>
        <v>23644</v>
      </c>
      <c r="Y22" s="21">
        <f t="shared" si="4"/>
        <v>24394</v>
      </c>
      <c r="Z22" s="21">
        <f t="shared" si="4"/>
        <v>24394</v>
      </c>
      <c r="AA22" s="21">
        <f t="shared" si="4"/>
        <v>24394</v>
      </c>
      <c r="AB22" s="6"/>
      <c r="AC22" s="6"/>
    </row>
    <row r="23" spans="1:29" ht="15" customHeight="1" x14ac:dyDescent="0.3">
      <c r="A23" s="6"/>
      <c r="B23" s="55"/>
      <c r="C23" s="53"/>
      <c r="D23" s="53"/>
      <c r="E23" s="25" t="s">
        <v>6</v>
      </c>
      <c r="F23" s="21">
        <f>SUM(D22+F20)</f>
        <v>40960</v>
      </c>
      <c r="G23" s="21">
        <f>SUM(F23+G20)</f>
        <v>40960</v>
      </c>
      <c r="H23" s="21">
        <f>SUM(G23+H20)</f>
        <v>45056</v>
      </c>
      <c r="I23" s="21">
        <f t="shared" ref="I23:AA23" si="5">SUM(H23+I20)</f>
        <v>45056</v>
      </c>
      <c r="J23" s="21">
        <f t="shared" si="5"/>
        <v>45056</v>
      </c>
      <c r="K23" s="44">
        <f>SUM(J23+L20)+K20</f>
        <v>45056</v>
      </c>
      <c r="L23" s="45"/>
      <c r="M23" s="21">
        <f>SUM(K23+M20)</f>
        <v>45056</v>
      </c>
      <c r="N23" s="21">
        <f t="shared" si="5"/>
        <v>45056</v>
      </c>
      <c r="O23" s="44">
        <f>SUM(N23+P20+O20)</f>
        <v>45056</v>
      </c>
      <c r="P23" s="45"/>
      <c r="Q23" s="21">
        <f>SUM(O23+Q20)</f>
        <v>45056</v>
      </c>
      <c r="R23" s="21">
        <f t="shared" si="5"/>
        <v>45056</v>
      </c>
      <c r="S23" s="21">
        <f t="shared" si="5"/>
        <v>45056</v>
      </c>
      <c r="T23" s="21">
        <f t="shared" si="5"/>
        <v>49152</v>
      </c>
      <c r="U23" s="21">
        <f t="shared" si="5"/>
        <v>49152</v>
      </c>
      <c r="V23" s="21">
        <f t="shared" si="5"/>
        <v>49152</v>
      </c>
      <c r="W23" s="21">
        <f t="shared" si="5"/>
        <v>49152</v>
      </c>
      <c r="X23" s="21">
        <f t="shared" si="5"/>
        <v>49152</v>
      </c>
      <c r="Y23" s="21">
        <f t="shared" si="5"/>
        <v>49152</v>
      </c>
      <c r="Z23" s="21">
        <f t="shared" si="5"/>
        <v>49152</v>
      </c>
      <c r="AA23" s="21">
        <f t="shared" si="5"/>
        <v>49152</v>
      </c>
      <c r="AB23" s="6"/>
      <c r="AC23" s="6"/>
    </row>
    <row r="24" spans="1:29" ht="15" customHeight="1" x14ac:dyDescent="0.3">
      <c r="A24" s="6"/>
      <c r="B24" s="56"/>
      <c r="C24" s="53"/>
      <c r="D24" s="53"/>
      <c r="E24" s="24" t="s">
        <v>9</v>
      </c>
      <c r="F24" s="22">
        <f t="shared" ref="F24:Z24" si="6">F22/F23</f>
        <v>0.46845703124999999</v>
      </c>
      <c r="G24" s="22">
        <f t="shared" si="6"/>
        <v>0.46845703124999999</v>
      </c>
      <c r="H24" s="22">
        <f t="shared" si="6"/>
        <v>0.42587002840909088</v>
      </c>
      <c r="I24" s="22">
        <f t="shared" si="6"/>
        <v>0.42587002840909088</v>
      </c>
      <c r="J24" s="22">
        <f t="shared" si="6"/>
        <v>0.42587002840909088</v>
      </c>
      <c r="K24" s="46">
        <f>K22/K23</f>
        <v>0.44251598011363635</v>
      </c>
      <c r="L24" s="47"/>
      <c r="M24" s="22">
        <f t="shared" si="6"/>
        <v>0.44251598011363635</v>
      </c>
      <c r="N24" s="22">
        <f t="shared" si="6"/>
        <v>0.44251598011363635</v>
      </c>
      <c r="O24" s="46">
        <f>O22/O23</f>
        <v>0.47869318181818182</v>
      </c>
      <c r="P24" s="47"/>
      <c r="Q24" s="22">
        <f t="shared" si="6"/>
        <v>0.47869318181818182</v>
      </c>
      <c r="R24" s="22">
        <f t="shared" si="6"/>
        <v>0.47869318181818182</v>
      </c>
      <c r="S24" s="22">
        <f t="shared" si="6"/>
        <v>0.49533913352272729</v>
      </c>
      <c r="T24" s="22">
        <f t="shared" si="6"/>
        <v>0.45406087239583331</v>
      </c>
      <c r="U24" s="22">
        <f t="shared" si="6"/>
        <v>0.46577962239583331</v>
      </c>
      <c r="V24" s="22">
        <f t="shared" si="6"/>
        <v>0.48103841145833331</v>
      </c>
      <c r="W24" s="22">
        <f t="shared" si="6"/>
        <v>0.48103841145833331</v>
      </c>
      <c r="X24" s="22">
        <f t="shared" si="6"/>
        <v>0.48103841145833331</v>
      </c>
      <c r="Y24" s="22">
        <f t="shared" si="6"/>
        <v>0.49629720052083331</v>
      </c>
      <c r="Z24" s="22">
        <f t="shared" si="6"/>
        <v>0.49629720052083331</v>
      </c>
      <c r="AA24" s="22">
        <f t="shared" ref="AA24" si="7">AA22/AA23</f>
        <v>0.49629720052083331</v>
      </c>
      <c r="AB24" s="6"/>
      <c r="AC24" s="6"/>
    </row>
    <row r="25" spans="1:29" x14ac:dyDescent="0.3">
      <c r="A25" s="6"/>
      <c r="B25" s="23"/>
      <c r="C25" s="23"/>
      <c r="D25" s="23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6"/>
      <c r="AC25" s="6"/>
    </row>
    <row r="26" spans="1:29" ht="94.35" customHeight="1" x14ac:dyDescent="0.3">
      <c r="A26" s="6"/>
      <c r="B26" s="54" t="s">
        <v>26</v>
      </c>
      <c r="C26" s="12"/>
      <c r="D26" s="12"/>
      <c r="E26" s="18"/>
      <c r="F26" s="13"/>
      <c r="G26" s="13" t="s">
        <v>19</v>
      </c>
      <c r="H26" s="13"/>
      <c r="I26" s="13"/>
      <c r="J26" s="34" t="s">
        <v>10</v>
      </c>
      <c r="K26" s="14" t="s">
        <v>34</v>
      </c>
      <c r="L26" s="15" t="s">
        <v>31</v>
      </c>
      <c r="M26" s="34" t="s">
        <v>11</v>
      </c>
      <c r="N26" s="13"/>
      <c r="O26" s="14" t="s">
        <v>35</v>
      </c>
      <c r="P26" s="13"/>
      <c r="Q26" s="13"/>
      <c r="R26" s="13"/>
      <c r="S26" s="14" t="s">
        <v>32</v>
      </c>
      <c r="T26" s="15" t="s">
        <v>31</v>
      </c>
      <c r="U26" s="34" t="s">
        <v>15</v>
      </c>
      <c r="V26" s="14" t="s">
        <v>33</v>
      </c>
      <c r="W26" s="13"/>
      <c r="X26" s="13"/>
      <c r="Y26" s="14" t="s">
        <v>34</v>
      </c>
      <c r="Z26" s="13"/>
      <c r="AA26" s="13"/>
      <c r="AB26" s="6"/>
      <c r="AC26" s="6"/>
    </row>
    <row r="27" spans="1:29" ht="7.7" customHeight="1" x14ac:dyDescent="0.3">
      <c r="A27" s="6"/>
      <c r="B27" s="55"/>
      <c r="C27" s="12"/>
      <c r="D27" s="12"/>
      <c r="E27" s="18"/>
      <c r="F27" s="13"/>
      <c r="G27" s="13"/>
      <c r="H27" s="13"/>
      <c r="I27" s="13"/>
      <c r="J27" s="13"/>
      <c r="K27" s="42"/>
      <c r="L27" s="4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6"/>
      <c r="AC27" s="6"/>
    </row>
    <row r="28" spans="1:29" x14ac:dyDescent="0.3">
      <c r="A28" s="6"/>
      <c r="B28" s="55"/>
      <c r="C28" s="12"/>
      <c r="D28" s="12"/>
      <c r="E28" s="24" t="s">
        <v>22</v>
      </c>
      <c r="F28" s="28"/>
      <c r="G28" s="28"/>
      <c r="H28" s="28"/>
      <c r="I28" s="28"/>
      <c r="J28" s="28"/>
      <c r="K28" s="28"/>
      <c r="L28" s="28">
        <v>4096</v>
      </c>
      <c r="M28" s="28"/>
      <c r="N28" s="28"/>
      <c r="O28" s="28"/>
      <c r="P28" s="28"/>
      <c r="Q28" s="28"/>
      <c r="R28" s="28"/>
      <c r="S28" s="28"/>
      <c r="T28" s="28">
        <v>4096</v>
      </c>
      <c r="U28" s="28"/>
      <c r="V28" s="28"/>
      <c r="W28" s="28"/>
      <c r="X28" s="28"/>
      <c r="Y28" s="28"/>
      <c r="Z28" s="28"/>
      <c r="AA28" s="28"/>
      <c r="AB28" s="6"/>
      <c r="AC28" s="6"/>
    </row>
    <row r="29" spans="1:29" x14ac:dyDescent="0.3">
      <c r="A29" s="6"/>
      <c r="B29" s="55"/>
      <c r="C29" s="18"/>
      <c r="D29" s="18"/>
      <c r="E29" s="24" t="s">
        <v>21</v>
      </c>
      <c r="F29" s="29"/>
      <c r="G29" s="29">
        <v>327</v>
      </c>
      <c r="H29" s="29"/>
      <c r="I29" s="29"/>
      <c r="J29" s="29">
        <v>144</v>
      </c>
      <c r="K29" s="29">
        <v>375</v>
      </c>
      <c r="L29" s="29"/>
      <c r="M29" s="29">
        <v>432</v>
      </c>
      <c r="N29" s="29"/>
      <c r="O29" s="29">
        <v>375</v>
      </c>
      <c r="P29" s="29"/>
      <c r="Q29" s="29"/>
      <c r="R29" s="29"/>
      <c r="S29" s="29">
        <v>375</v>
      </c>
      <c r="T29" s="29"/>
      <c r="U29" s="29">
        <v>320</v>
      </c>
      <c r="V29" s="29">
        <v>375</v>
      </c>
      <c r="W29" s="29"/>
      <c r="X29" s="29"/>
      <c r="Y29" s="29">
        <v>375</v>
      </c>
      <c r="Z29" s="29"/>
      <c r="AA29" s="29"/>
      <c r="AB29" s="6"/>
      <c r="AC29" s="6"/>
    </row>
    <row r="30" spans="1:29" ht="15" customHeight="1" x14ac:dyDescent="0.3">
      <c r="A30" s="6"/>
      <c r="B30" s="55"/>
      <c r="C30" s="52">
        <v>3345</v>
      </c>
      <c r="D30" s="52">
        <v>8192</v>
      </c>
      <c r="E30" s="25" t="s">
        <v>18</v>
      </c>
      <c r="F30" s="21">
        <f>SUM(C30)+F29</f>
        <v>3345</v>
      </c>
      <c r="G30" s="21">
        <f>SUM(F30)+G29</f>
        <v>3672</v>
      </c>
      <c r="H30" s="21">
        <f t="shared" ref="H30:AA30" si="8">SUM(G30)+H29</f>
        <v>3672</v>
      </c>
      <c r="I30" s="21">
        <f t="shared" si="8"/>
        <v>3672</v>
      </c>
      <c r="J30" s="21">
        <f t="shared" si="8"/>
        <v>3816</v>
      </c>
      <c r="K30" s="44">
        <f>SUM(J30)+L29+K29</f>
        <v>4191</v>
      </c>
      <c r="L30" s="45"/>
      <c r="M30" s="21">
        <f>SUM(K30)+M29</f>
        <v>4623</v>
      </c>
      <c r="N30" s="21">
        <f t="shared" si="8"/>
        <v>4623</v>
      </c>
      <c r="O30" s="44">
        <f>SUM(N30)+P29+O29</f>
        <v>4998</v>
      </c>
      <c r="P30" s="45"/>
      <c r="Q30" s="21">
        <f>SUM(O30)+Q29</f>
        <v>4998</v>
      </c>
      <c r="R30" s="21">
        <f t="shared" si="8"/>
        <v>4998</v>
      </c>
      <c r="S30" s="21">
        <f t="shared" si="8"/>
        <v>5373</v>
      </c>
      <c r="T30" s="21">
        <f t="shared" si="8"/>
        <v>5373</v>
      </c>
      <c r="U30" s="21">
        <f t="shared" si="8"/>
        <v>5693</v>
      </c>
      <c r="V30" s="21">
        <f t="shared" si="8"/>
        <v>6068</v>
      </c>
      <c r="W30" s="21">
        <f t="shared" si="8"/>
        <v>6068</v>
      </c>
      <c r="X30" s="21">
        <f t="shared" si="8"/>
        <v>6068</v>
      </c>
      <c r="Y30" s="21">
        <f t="shared" si="8"/>
        <v>6443</v>
      </c>
      <c r="Z30" s="21">
        <f t="shared" si="8"/>
        <v>6443</v>
      </c>
      <c r="AA30" s="21">
        <f t="shared" si="8"/>
        <v>6443</v>
      </c>
      <c r="AB30" s="6"/>
      <c r="AC30" s="6"/>
    </row>
    <row r="31" spans="1:29" ht="15" customHeight="1" x14ac:dyDescent="0.3">
      <c r="A31" s="6"/>
      <c r="B31" s="55"/>
      <c r="C31" s="53"/>
      <c r="D31" s="53"/>
      <c r="E31" s="25" t="s">
        <v>6</v>
      </c>
      <c r="F31" s="21">
        <f>SUM(D30+F28)</f>
        <v>8192</v>
      </c>
      <c r="G31" s="21">
        <f>SUM(F31+G28)</f>
        <v>8192</v>
      </c>
      <c r="H31" s="21">
        <f t="shared" ref="H31:AA31" si="9">SUM(G31+H28)</f>
        <v>8192</v>
      </c>
      <c r="I31" s="21">
        <f t="shared" si="9"/>
        <v>8192</v>
      </c>
      <c r="J31" s="21">
        <f t="shared" si="9"/>
        <v>8192</v>
      </c>
      <c r="K31" s="44">
        <f>SUM(J31+L28)+K28</f>
        <v>12288</v>
      </c>
      <c r="L31" s="45"/>
      <c r="M31" s="21">
        <f>SUM(K31+M28)</f>
        <v>12288</v>
      </c>
      <c r="N31" s="21">
        <f t="shared" si="9"/>
        <v>12288</v>
      </c>
      <c r="O31" s="44">
        <f>SUM(N31+P28)+O28</f>
        <v>12288</v>
      </c>
      <c r="P31" s="45"/>
      <c r="Q31" s="21">
        <f>SUM(O31+Q28)</f>
        <v>12288</v>
      </c>
      <c r="R31" s="21">
        <f t="shared" si="9"/>
        <v>12288</v>
      </c>
      <c r="S31" s="21">
        <f t="shared" si="9"/>
        <v>12288</v>
      </c>
      <c r="T31" s="21">
        <f t="shared" si="9"/>
        <v>16384</v>
      </c>
      <c r="U31" s="21">
        <f t="shared" si="9"/>
        <v>16384</v>
      </c>
      <c r="V31" s="21">
        <f t="shared" si="9"/>
        <v>16384</v>
      </c>
      <c r="W31" s="21">
        <f t="shared" si="9"/>
        <v>16384</v>
      </c>
      <c r="X31" s="21">
        <f t="shared" si="9"/>
        <v>16384</v>
      </c>
      <c r="Y31" s="21">
        <f t="shared" si="9"/>
        <v>16384</v>
      </c>
      <c r="Z31" s="21">
        <f t="shared" si="9"/>
        <v>16384</v>
      </c>
      <c r="AA31" s="21">
        <f t="shared" si="9"/>
        <v>16384</v>
      </c>
      <c r="AB31" s="6"/>
      <c r="AC31" s="6"/>
    </row>
    <row r="32" spans="1:29" ht="15" customHeight="1" x14ac:dyDescent="0.3">
      <c r="A32" s="6"/>
      <c r="B32" s="56"/>
      <c r="C32" s="53"/>
      <c r="D32" s="53"/>
      <c r="E32" s="24" t="s">
        <v>9</v>
      </c>
      <c r="F32" s="22">
        <f t="shared" ref="F32:Z32" si="10">F30/F31</f>
        <v>0.4083251953125</v>
      </c>
      <c r="G32" s="22">
        <f t="shared" si="10"/>
        <v>0.4482421875</v>
      </c>
      <c r="H32" s="22">
        <f t="shared" si="10"/>
        <v>0.4482421875</v>
      </c>
      <c r="I32" s="22">
        <f t="shared" si="10"/>
        <v>0.4482421875</v>
      </c>
      <c r="J32" s="22">
        <f t="shared" si="10"/>
        <v>0.4658203125</v>
      </c>
      <c r="K32" s="46">
        <f>K30/K31</f>
        <v>0.341064453125</v>
      </c>
      <c r="L32" s="47"/>
      <c r="M32" s="22">
        <f t="shared" si="10"/>
        <v>0.376220703125</v>
      </c>
      <c r="N32" s="22">
        <f t="shared" si="10"/>
        <v>0.376220703125</v>
      </c>
      <c r="O32" s="46">
        <f>O30/O31</f>
        <v>0.40673828125</v>
      </c>
      <c r="P32" s="47"/>
      <c r="Q32" s="22">
        <f t="shared" si="10"/>
        <v>0.40673828125</v>
      </c>
      <c r="R32" s="22">
        <f t="shared" si="10"/>
        <v>0.40673828125</v>
      </c>
      <c r="S32" s="22">
        <f t="shared" si="10"/>
        <v>0.437255859375</v>
      </c>
      <c r="T32" s="22">
        <f t="shared" si="10"/>
        <v>0.32794189453125</v>
      </c>
      <c r="U32" s="22">
        <f t="shared" si="10"/>
        <v>0.34747314453125</v>
      </c>
      <c r="V32" s="22">
        <f t="shared" si="10"/>
        <v>0.370361328125</v>
      </c>
      <c r="W32" s="22">
        <f t="shared" si="10"/>
        <v>0.370361328125</v>
      </c>
      <c r="X32" s="22">
        <f t="shared" si="10"/>
        <v>0.370361328125</v>
      </c>
      <c r="Y32" s="22">
        <f t="shared" si="10"/>
        <v>0.39324951171875</v>
      </c>
      <c r="Z32" s="22">
        <f t="shared" si="10"/>
        <v>0.39324951171875</v>
      </c>
      <c r="AA32" s="22">
        <f t="shared" ref="AA32" si="11">AA30/AA31</f>
        <v>0.39324951171875</v>
      </c>
      <c r="AB32" s="6"/>
      <c r="AC32" s="6"/>
    </row>
    <row r="33" spans="1:29" ht="15" customHeight="1" x14ac:dyDescent="0.3">
      <c r="A33" s="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6"/>
      <c r="AC33" s="6"/>
    </row>
    <row r="34" spans="1:29" ht="64.349999999999994" customHeight="1" x14ac:dyDescent="0.3">
      <c r="A34" s="6"/>
      <c r="B34" s="54" t="s">
        <v>3</v>
      </c>
      <c r="C34" s="13"/>
      <c r="D34" s="13"/>
      <c r="E34" s="13"/>
      <c r="F34" s="13"/>
      <c r="G34" s="13"/>
      <c r="H34" s="13"/>
      <c r="I34" s="13"/>
      <c r="J34" s="13"/>
      <c r="K34" s="14" t="s">
        <v>34</v>
      </c>
      <c r="L34" s="13"/>
      <c r="M34" s="13"/>
      <c r="N34" s="13"/>
      <c r="O34" s="14" t="s">
        <v>35</v>
      </c>
      <c r="P34" s="13"/>
      <c r="Q34" s="13"/>
      <c r="R34" s="13"/>
      <c r="S34" s="14" t="s">
        <v>32</v>
      </c>
      <c r="T34" s="13"/>
      <c r="U34" s="13"/>
      <c r="V34" s="14" t="s">
        <v>33</v>
      </c>
      <c r="W34" s="13"/>
      <c r="X34" s="13"/>
      <c r="Y34" s="14" t="s">
        <v>34</v>
      </c>
      <c r="Z34" s="13"/>
      <c r="AA34" s="13"/>
      <c r="AB34" s="6"/>
      <c r="AC34" s="6"/>
    </row>
    <row r="35" spans="1:29" ht="8.4499999999999993" customHeight="1" x14ac:dyDescent="0.3">
      <c r="A35" s="6"/>
      <c r="B35" s="55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6"/>
      <c r="AC35" s="6"/>
    </row>
    <row r="36" spans="1:29" x14ac:dyDescent="0.3">
      <c r="A36" s="6"/>
      <c r="B36" s="55"/>
      <c r="C36" s="13"/>
      <c r="D36" s="13"/>
      <c r="E36" s="31" t="s">
        <v>22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6"/>
      <c r="AC36" s="6"/>
    </row>
    <row r="37" spans="1:29" x14ac:dyDescent="0.3">
      <c r="A37" s="6"/>
      <c r="B37" s="55"/>
      <c r="C37" s="18"/>
      <c r="D37" s="18"/>
      <c r="E37" s="31" t="s">
        <v>21</v>
      </c>
      <c r="F37" s="29"/>
      <c r="G37" s="29"/>
      <c r="H37" s="29"/>
      <c r="I37" s="29"/>
      <c r="J37" s="29"/>
      <c r="K37" s="29">
        <v>0</v>
      </c>
      <c r="L37" s="29"/>
      <c r="M37" s="29"/>
      <c r="N37" s="29"/>
      <c r="O37" s="29">
        <v>0</v>
      </c>
      <c r="P37" s="29"/>
      <c r="Q37" s="29"/>
      <c r="R37" s="29"/>
      <c r="S37" s="29">
        <v>0</v>
      </c>
      <c r="T37" s="29"/>
      <c r="U37" s="29"/>
      <c r="V37" s="29">
        <v>0</v>
      </c>
      <c r="W37" s="29"/>
      <c r="X37" s="29"/>
      <c r="Y37" s="29">
        <v>0</v>
      </c>
      <c r="Z37" s="29"/>
      <c r="AA37" s="29"/>
      <c r="AB37" s="6"/>
      <c r="AC37" s="6"/>
    </row>
    <row r="38" spans="1:29" ht="15" customHeight="1" x14ac:dyDescent="0.3">
      <c r="A38" s="6"/>
      <c r="B38" s="55"/>
      <c r="C38" s="52">
        <v>1564</v>
      </c>
      <c r="D38" s="52">
        <v>4096</v>
      </c>
      <c r="E38" s="32" t="s">
        <v>18</v>
      </c>
      <c r="F38" s="21">
        <f>SUM(C38+F37)</f>
        <v>1564</v>
      </c>
      <c r="G38" s="21">
        <f>SUM(F38+G37)</f>
        <v>1564</v>
      </c>
      <c r="H38" s="21">
        <f t="shared" ref="H38:AA38" si="12">SUM(G38+H37)</f>
        <v>1564</v>
      </c>
      <c r="I38" s="21">
        <f t="shared" si="12"/>
        <v>1564</v>
      </c>
      <c r="J38" s="21">
        <f t="shared" si="12"/>
        <v>1564</v>
      </c>
      <c r="K38" s="44">
        <f>SUM(J38+L37)+K37</f>
        <v>1564</v>
      </c>
      <c r="L38" s="45"/>
      <c r="M38" s="21">
        <f>SUM(K38+M37)</f>
        <v>1564</v>
      </c>
      <c r="N38" s="21">
        <f t="shared" si="12"/>
        <v>1564</v>
      </c>
      <c r="O38" s="44">
        <f>SUM(N38+P37)+O37</f>
        <v>1564</v>
      </c>
      <c r="P38" s="45"/>
      <c r="Q38" s="21">
        <f>SUM(O38+Q37)</f>
        <v>1564</v>
      </c>
      <c r="R38" s="21">
        <f t="shared" si="12"/>
        <v>1564</v>
      </c>
      <c r="S38" s="21">
        <f t="shared" si="12"/>
        <v>1564</v>
      </c>
      <c r="T38" s="21">
        <f t="shared" si="12"/>
        <v>1564</v>
      </c>
      <c r="U38" s="21">
        <f t="shared" si="12"/>
        <v>1564</v>
      </c>
      <c r="V38" s="21">
        <f t="shared" si="12"/>
        <v>1564</v>
      </c>
      <c r="W38" s="21">
        <f t="shared" si="12"/>
        <v>1564</v>
      </c>
      <c r="X38" s="21">
        <f t="shared" si="12"/>
        <v>1564</v>
      </c>
      <c r="Y38" s="21">
        <f t="shared" si="12"/>
        <v>1564</v>
      </c>
      <c r="Z38" s="21">
        <f t="shared" si="12"/>
        <v>1564</v>
      </c>
      <c r="AA38" s="21">
        <f t="shared" si="12"/>
        <v>1564</v>
      </c>
      <c r="AB38" s="6"/>
      <c r="AC38" s="6"/>
    </row>
    <row r="39" spans="1:29" ht="15" customHeight="1" x14ac:dyDescent="0.3">
      <c r="A39" s="6"/>
      <c r="B39" s="55"/>
      <c r="C39" s="53"/>
      <c r="D39" s="53"/>
      <c r="E39" s="32" t="s">
        <v>6</v>
      </c>
      <c r="F39" s="21">
        <f>SUM(D38+F36)</f>
        <v>4096</v>
      </c>
      <c r="G39" s="21">
        <f>SUM(F39+G36)</f>
        <v>4096</v>
      </c>
      <c r="H39" s="21">
        <f t="shared" ref="H39:AA39" si="13">SUM(G39+H36)</f>
        <v>4096</v>
      </c>
      <c r="I39" s="21">
        <f t="shared" si="13"/>
        <v>4096</v>
      </c>
      <c r="J39" s="21">
        <f t="shared" si="13"/>
        <v>4096</v>
      </c>
      <c r="K39" s="44">
        <f>SUM(J39+L36)+K36</f>
        <v>4096</v>
      </c>
      <c r="L39" s="45"/>
      <c r="M39" s="21">
        <f>SUM(K39+M36)</f>
        <v>4096</v>
      </c>
      <c r="N39" s="21">
        <f t="shared" si="13"/>
        <v>4096</v>
      </c>
      <c r="O39" s="44">
        <f>SUM(N39+P36)+O36</f>
        <v>4096</v>
      </c>
      <c r="P39" s="45"/>
      <c r="Q39" s="21">
        <f>SUM(O39+Q36)</f>
        <v>4096</v>
      </c>
      <c r="R39" s="21">
        <f t="shared" si="13"/>
        <v>4096</v>
      </c>
      <c r="S39" s="21">
        <f t="shared" si="13"/>
        <v>4096</v>
      </c>
      <c r="T39" s="21">
        <f t="shared" si="13"/>
        <v>4096</v>
      </c>
      <c r="U39" s="21">
        <f t="shared" si="13"/>
        <v>4096</v>
      </c>
      <c r="V39" s="21">
        <f t="shared" si="13"/>
        <v>4096</v>
      </c>
      <c r="W39" s="21">
        <f t="shared" si="13"/>
        <v>4096</v>
      </c>
      <c r="X39" s="21">
        <f t="shared" si="13"/>
        <v>4096</v>
      </c>
      <c r="Y39" s="21">
        <f t="shared" si="13"/>
        <v>4096</v>
      </c>
      <c r="Z39" s="21">
        <f t="shared" si="13"/>
        <v>4096</v>
      </c>
      <c r="AA39" s="21">
        <f t="shared" si="13"/>
        <v>4096</v>
      </c>
      <c r="AB39" s="6"/>
      <c r="AC39" s="6"/>
    </row>
    <row r="40" spans="1:29" ht="15" customHeight="1" x14ac:dyDescent="0.3">
      <c r="A40" s="6"/>
      <c r="B40" s="56"/>
      <c r="C40" s="53"/>
      <c r="D40" s="53"/>
      <c r="E40" s="31" t="s">
        <v>9</v>
      </c>
      <c r="F40" s="22">
        <f t="shared" ref="F40:Z40" si="14">F38/F39</f>
        <v>0.3818359375</v>
      </c>
      <c r="G40" s="22">
        <f t="shared" si="14"/>
        <v>0.3818359375</v>
      </c>
      <c r="H40" s="22">
        <f t="shared" si="14"/>
        <v>0.3818359375</v>
      </c>
      <c r="I40" s="22">
        <f t="shared" si="14"/>
        <v>0.3818359375</v>
      </c>
      <c r="J40" s="22">
        <f t="shared" si="14"/>
        <v>0.3818359375</v>
      </c>
      <c r="K40" s="46">
        <f>K38/K39</f>
        <v>0.3818359375</v>
      </c>
      <c r="L40" s="47"/>
      <c r="M40" s="22">
        <f t="shared" si="14"/>
        <v>0.3818359375</v>
      </c>
      <c r="N40" s="22">
        <f t="shared" si="14"/>
        <v>0.3818359375</v>
      </c>
      <c r="O40" s="46">
        <f>O38/O39</f>
        <v>0.3818359375</v>
      </c>
      <c r="P40" s="47"/>
      <c r="Q40" s="22">
        <f t="shared" si="14"/>
        <v>0.3818359375</v>
      </c>
      <c r="R40" s="22">
        <f t="shared" si="14"/>
        <v>0.3818359375</v>
      </c>
      <c r="S40" s="22">
        <f t="shared" si="14"/>
        <v>0.3818359375</v>
      </c>
      <c r="T40" s="22">
        <f t="shared" si="14"/>
        <v>0.3818359375</v>
      </c>
      <c r="U40" s="22">
        <f t="shared" si="14"/>
        <v>0.3818359375</v>
      </c>
      <c r="V40" s="22">
        <f t="shared" si="14"/>
        <v>0.3818359375</v>
      </c>
      <c r="W40" s="22">
        <f t="shared" si="14"/>
        <v>0.3818359375</v>
      </c>
      <c r="X40" s="22">
        <f t="shared" si="14"/>
        <v>0.3818359375</v>
      </c>
      <c r="Y40" s="22">
        <f t="shared" si="14"/>
        <v>0.3818359375</v>
      </c>
      <c r="Z40" s="22">
        <f t="shared" si="14"/>
        <v>0.3818359375</v>
      </c>
      <c r="AA40" s="22">
        <f t="shared" ref="AA40" si="15">AA38/AA39</f>
        <v>0.3818359375</v>
      </c>
      <c r="AB40" s="6"/>
      <c r="AC40" s="6"/>
    </row>
    <row r="41" spans="1:29" ht="15" customHeight="1" x14ac:dyDescent="0.3">
      <c r="A41" s="6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6"/>
      <c r="AC41" s="6"/>
    </row>
    <row r="42" spans="1:29" ht="1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5" customHeight="1" x14ac:dyDescent="0.3">
      <c r="A43" s="6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"/>
      <c r="AB43" s="6"/>
      <c r="AC43" s="6"/>
    </row>
    <row r="44" spans="1:29" ht="15" customHeight="1" x14ac:dyDescent="0.3">
      <c r="A44" s="6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6"/>
      <c r="AB44" s="6"/>
      <c r="AC44" s="6"/>
    </row>
    <row r="45" spans="1:29" ht="15" customHeight="1" x14ac:dyDescent="0.3">
      <c r="A45" s="6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6"/>
      <c r="AB45" s="6"/>
      <c r="AC45" s="6"/>
    </row>
    <row r="46" spans="1:29" ht="15" customHeight="1" x14ac:dyDescent="0.3">
      <c r="A46" s="6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6"/>
      <c r="AB46" s="6"/>
      <c r="AC46" s="6"/>
    </row>
    <row r="47" spans="1:29" ht="15" customHeight="1" x14ac:dyDescent="0.3">
      <c r="A47" s="6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6"/>
      <c r="AB47" s="6"/>
      <c r="AC47" s="6"/>
    </row>
    <row r="48" spans="1:29" ht="1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</sheetData>
  <mergeCells count="52">
    <mergeCell ref="B44:Z44"/>
    <mergeCell ref="B45:Z45"/>
    <mergeCell ref="B46:Z46"/>
    <mergeCell ref="B47:Z47"/>
    <mergeCell ref="C38:C40"/>
    <mergeCell ref="D38:D40"/>
    <mergeCell ref="B43:Z43"/>
    <mergeCell ref="B34:B40"/>
    <mergeCell ref="O40:P40"/>
    <mergeCell ref="O39:P39"/>
    <mergeCell ref="O38:P38"/>
    <mergeCell ref="C22:C24"/>
    <mergeCell ref="D22:D24"/>
    <mergeCell ref="C30:C32"/>
    <mergeCell ref="D30:D32"/>
    <mergeCell ref="B18:B24"/>
    <mergeCell ref="B26:B32"/>
    <mergeCell ref="O32:P32"/>
    <mergeCell ref="O31:P31"/>
    <mergeCell ref="O30:P30"/>
    <mergeCell ref="B2:Z2"/>
    <mergeCell ref="B3:Z3"/>
    <mergeCell ref="C13:C15"/>
    <mergeCell ref="D13:D15"/>
    <mergeCell ref="B9:B15"/>
    <mergeCell ref="F5:H5"/>
    <mergeCell ref="I5:J5"/>
    <mergeCell ref="O7:P7"/>
    <mergeCell ref="O8:P8"/>
    <mergeCell ref="O15:P15"/>
    <mergeCell ref="O14:P14"/>
    <mergeCell ref="O13:P13"/>
    <mergeCell ref="K13:L13"/>
    <mergeCell ref="K7:L7"/>
    <mergeCell ref="O10:P10"/>
    <mergeCell ref="K19:L19"/>
    <mergeCell ref="K22:L22"/>
    <mergeCell ref="K24:L24"/>
    <mergeCell ref="K23:L23"/>
    <mergeCell ref="O22:P22"/>
    <mergeCell ref="O23:P23"/>
    <mergeCell ref="O24:P24"/>
    <mergeCell ref="K14:L14"/>
    <mergeCell ref="K15:L15"/>
    <mergeCell ref="K10:L10"/>
    <mergeCell ref="K27:L27"/>
    <mergeCell ref="K30:L30"/>
    <mergeCell ref="K31:L31"/>
    <mergeCell ref="K32:L32"/>
    <mergeCell ref="K40:L40"/>
    <mergeCell ref="K39:L39"/>
    <mergeCell ref="K38:L38"/>
  </mergeCells>
  <conditionalFormatting sqref="F32:J32">
    <cfRule type="colorScale" priority="4">
      <colorScale>
        <cfvo type="num" val="0.44"/>
        <cfvo type="num" val="0.45"/>
        <cfvo type="num" val="0.5"/>
        <color rgb="FFC6EFCE"/>
        <color rgb="FFFFEB9C"/>
        <color rgb="FFF4B084"/>
      </colorScale>
    </cfRule>
  </conditionalFormatting>
  <conditionalFormatting sqref="F40:J40">
    <cfRule type="colorScale" priority="5">
      <colorScale>
        <cfvo type="num" val="0.44"/>
        <cfvo type="num" val="0.45"/>
        <cfvo type="num" val="0.5"/>
        <color rgb="FFC6EFCE"/>
        <color rgb="FFFFEB9C"/>
        <color rgb="FFF4B084"/>
      </colorScale>
    </cfRule>
  </conditionalFormatting>
  <conditionalFormatting sqref="F25:AA25 B33:AA33 Q24:AA24 Q32:AA32 M24:O24 F24:K24 M32:O32 K32 K40 Q40:AA40 M40:O40">
    <cfRule type="colorScale" priority="3">
      <colorScale>
        <cfvo type="num" val="0.44"/>
        <cfvo type="num" val="0.45"/>
        <cfvo type="num" val="0.5"/>
        <color rgb="FFC6EFCE"/>
        <color rgb="FFFFEB9C"/>
        <color rgb="FFF4B084"/>
      </colorScale>
    </cfRule>
  </conditionalFormatting>
  <conditionalFormatting sqref="Q15:AA16 M15:O16 F15:K16">
    <cfRule type="colorScale" priority="2">
      <colorScale>
        <cfvo type="num" val="0.44"/>
        <cfvo type="num" val="0.45"/>
        <cfvo type="num" val="0.48"/>
        <color rgb="FFC6EFCE"/>
        <color rgb="FFFFEB9C"/>
        <color rgb="FFF4B08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Lutz Simon</cp:lastModifiedBy>
  <cp:revision>0</cp:revision>
  <dcterms:created xsi:type="dcterms:W3CDTF">2026-05-03T14:42:47Z</dcterms:created>
  <dcterms:modified xsi:type="dcterms:W3CDTF">2026-05-18T12:55:02Z</dcterms:modified>
  <dc:language>en-US</dc:language>
</cp:coreProperties>
</file>